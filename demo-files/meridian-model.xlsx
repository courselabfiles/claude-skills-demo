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venue" sheetId="2" state="visible" r:id="rId4"/>
    <sheet name="CashFlow" sheetId="3" state="visible" r:id="rId5"/>
    <sheet name="Valu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<sst xmlns="http://schemas.openxmlformats.org/spreadsheetml/2006/main" count="48" uniqueCount="38">
  <si>
    <t xml:space="preserve">Meridian Gold &amp; Copper Ltd — Model Assumptions</t>
  </si>
  <si>
    <t xml:space="preserve">Assumption</t>
  </si>
  <si>
    <t xml:space="preserve">Value</t>
  </si>
  <si>
    <t xml:space="preserve">Gold price ($/oz)</t>
  </si>
  <si>
    <t xml:space="preserve">Copper price ($/lb)</t>
  </si>
  <si>
    <t xml:space="preserve">Gold production (koz/yr)</t>
  </si>
  <si>
    <t xml:space="preserve">Copper production (Mlb/yr)</t>
  </si>
  <si>
    <t xml:space="preserve">Revenue growth (%/yr)</t>
  </si>
  <si>
    <t xml:space="preserve">AISC ($/oz gold-eq)</t>
  </si>
  <si>
    <t xml:space="preserve">Cost inflation (%/yr)</t>
  </si>
  <si>
    <t xml:space="preserve">Tax rate</t>
  </si>
  <si>
    <t xml:space="preserve">Discount rate (WACC)</t>
  </si>
  <si>
    <t xml:space="preserve">Terminal growth rate</t>
  </si>
  <si>
    <t xml:space="preserve">Blue cells = hardcoded inputs (edit these). All figures synthetic — Meridian is a fictional training company.</t>
  </si>
  <si>
    <t xml:space="preserve">Revenue Forecast ($000s)</t>
  </si>
  <si>
    <t xml:space="preserve">Line item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</si>
  <si>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</si>
  <si>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</si>
  <si>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</si>
  <si>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</si>
  <si>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</si>
  <si>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Gold revenue</t>
  </si>
  <si>
    <t xml:space="preserve">Copper revenue</t>
  </si>
  <si>
    <t xml:space="preserve">Total revenue</t>
  </si>
  <si>
    <t xml:space="preserve">Free Cash Flow ($000s)</t>
  </si>
  <si>
    <t xml:space="preserve">Operating costs</t>
  </si>
  <si>
    <t xml:space="preserve">EBITDA</t>
  </si>
  <si>
    <t xml:space="preserve">Tax</t>
  </si>
  <si>
    <t xml:space="preserve">Capex</t>
  </si>
  <si>
    <t xml:space="preserve">Free cash flow</t>
  </si>
  <si>
    <t xml:space="preserve">DCF Valuation ($000s)</t>
  </si>
  <si>
    <t xml:space="preserve">Item</t>
  </si>
  <si>
    <t xml:space="preserve">Final-year FCF (2030)</t>
  </si>
  <si>
    <t xml:space="preserve">Terminal value = FCF×(1+g)/(WACC−g)</t>
  </si>
  <si>
    <t xml:space="preserve">Discount factor (yr 5)</t>
  </si>
  <si>
    <t xml:space="preserve">PV of terminal value</t>
  </si>
  <si>
    <t xml:space="preserve">PV of forecast FCF (2026–2030)</t>
  </si>
  <si>
    <t xml:space="preserve">Enterprise value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</si>
</sst>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\$#,##0.00"/>
    <numFmt numFmtId="167" formatCode="#,##0"/>
    <numFmt numFmtId="168" formatCode="0.0%"/>
    <numFmt numFmtId="169" formatCode="\$#,##0;&quot;($&quot;#,##0\)"/>
    <numFmt numFmtId="170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</row>
    <row r="4" customFormat="false" ht="15" hidden="false" customHeight="true" outlineLevel="0" collapsed="false">
      <c r="A4" s="4" t="s">
        <v>3</v>
      </c>
      <c r="B4" s="5" t="n">
        <v>2400</v>
      </c>
    </row>
    <row r="5" customFormat="false" ht="15" hidden="false" customHeight="true" outlineLevel="0" collapsed="false">
      <c r="A5" s="4" t="s">
        <v>4</v>
      </c>
      <c r="B5" s="6" t="n">
        <v>4.5</v>
      </c>
    </row>
    <row r="6" customFormat="false" ht="15" hidden="false" customHeight="true" outlineLevel="0" collapsed="false">
      <c r="A6" s="4" t="s">
        <v>5</v>
      </c>
      <c r="B6" s="7" t="n">
        <v>320</v>
      </c>
    </row>
    <row r="7" customFormat="false" ht="15" hidden="false" customHeight="true" outlineLevel="0" collapsed="false">
      <c r="A7" s="4" t="s">
        <v>6</v>
      </c>
      <c r="B7" s="7" t="n">
        <v>95</v>
      </c>
    </row>
    <row r="8" customFormat="false" ht="15" hidden="false" customHeight="true" outlineLevel="0" collapsed="false">
      <c r="A8" s="4" t="s">
        <v>7</v>
      </c>
      <c r="B8" s="8" t="n">
        <v>0.04</v>
      </c>
    </row>
    <row r="9" customFormat="false" ht="15" hidden="false" customHeight="true" outlineLevel="0" collapsed="false">
      <c r="A9" s="4" t="s">
        <v>8</v>
      </c>
      <c r="B9" s="5" t="n">
        <v>1350</v>
      </c>
    </row>
    <row r="10" customFormat="false" ht="15" hidden="false" customHeight="true" outlineLevel="0" collapsed="false">
      <c r="A10" s="4" t="s">
        <v>9</v>
      </c>
      <c r="B10" s="8" t="n">
        <v>0.03</v>
      </c>
    </row>
    <row r="11" customFormat="false" ht="15" hidden="false" customHeight="true" outlineLevel="0" collapsed="false">
      <c r="A11" s="4" t="s">
        <v>10</v>
      </c>
      <c r="B11" s="8" t="n">
        <v>0.28</v>
      </c>
    </row>
    <row r="12" customFormat="false" ht="15" hidden="false" customHeight="true" outlineLevel="0" collapsed="false">
      <c r="A12" s="4" t="s">
        <v>11</v>
      </c>
      <c r="B12" s="8" t="n">
        <v>0.09</v>
      </c>
    </row>
    <row r="13" customFormat="false" ht="15" hidden="false" customHeight="true" outlineLevel="0" collapsed="false">
      <c r="A13" s="4" t="s">
        <v>12</v>
      </c>
      <c r="B13" s="8" t="n">
        <v>0.02</v>
      </c>
    </row>
    <row r="15" customFormat="false" ht="15" hidden="false" customHeight="true" outlineLevel="0" collapsed="false">
      <c r="A15" s="9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2"/>
  </cols>
  <sheetData>
    <row r="1" customFormat="false" ht="17.25" hidden="false" customHeight="true" outlineLevel="0" collapsed="false">
      <c r="A1" s="2" t="s">
        <v>14</v>
      </c>
    </row>
    <row r="3" customFormat="false" ht="15" hidden="false" customHeight="true" outlineLevel="0" collapsed="false">
      <c r="A3" s="3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</row>
    <row r="4" customFormat="false" ht="15" hidden="false" customHeight="true" outlineLevel="0" collapsed="false">
      <c r="A4" s="4" t="s">
        <v>21</v>
      </c>
      <c r="B4" s="11" t="n">
        <f aca="false">Assumptions!B4*Assumptions!B6</f>
        <v>768000</v>
      </c>
      <c r="C4" s="12" t="n">
        <f aca="false">B4*(1+Assumptions!$B$8)</f>
        <v>798720</v>
      </c>
      <c r="D4" s="12" t="n">
        <f aca="false">C4*(1+Assumptions!$B$8)</f>
        <v>830668.8</v>
      </c>
      <c r="E4" s="12" t="n">
        <f aca="false">D4*(1+Assumptions!$B$8)</f>
        <v>863895.552</v>
      </c>
      <c r="F4" s="12" t="n">
        <f aca="false">E4*(1+Assumptions!$B$8)</f>
        <v>898451.37408</v>
      </c>
    </row>
    <row r="5" customFormat="false" ht="15" hidden="false" customHeight="true" outlineLevel="0" collapsed="false">
      <c r="A5" s="4" t="s">
        <v>22</v>
      </c>
      <c r="B5" s="11" t="n">
        <f aca="false">Assumptions!B5*Assumptions!B7*1000/1000</f>
        <v>427.5</v>
      </c>
      <c r="C5" s="12" t="n">
        <f aca="false">B5*(1+Assumptions!$B$8)</f>
        <v>444.6</v>
      </c>
      <c r="D5" s="12" t="n">
        <f aca="false">C5*(1+Assumptions!$B$8)</f>
        <v>462.384</v>
      </c>
      <c r="E5" s="12" t="n">
        <f aca="false">D5*(1+Assumptions!$B$8)</f>
        <v>480.87936</v>
      </c>
      <c r="F5" s="12" t="n">
        <f aca="false">E5*(1+Assumptions!$B$8)</f>
        <v>500.1145344</v>
      </c>
    </row>
    <row r="6" customFormat="false" ht="15" hidden="false" customHeight="true" outlineLevel="0" collapsed="false">
      <c r="A6" s="4" t="s">
        <v>23</v>
      </c>
      <c r="B6" s="13" t="n">
        <f aca="false">B4+B5</f>
        <v>768427.5</v>
      </c>
      <c r="C6" s="13" t="n">
        <f aca="false">C4+C5</f>
        <v>799164.6</v>
      </c>
      <c r="D6" s="13" t="n">
        <f aca="false">D4+D5</f>
        <v>831131.184</v>
      </c>
      <c r="E6" s="13" t="n">
        <f aca="false">E4+E5</f>
        <v>864376.43136</v>
      </c>
      <c r="F6" s="13" t="n">
        <f aca="false">F4+F5</f>
        <v>898951.4886144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2"/>
  </cols>
  <sheetData>
    <row r="1" customFormat="false" ht="17.25" hidden="false" customHeight="true" outlineLevel="0" collapsed="false">
      <c r="A1" s="2" t="s">
        <v>24</v>
      </c>
    </row>
    <row r="3" customFormat="false" ht="15" hidden="false" customHeight="true" outlineLevel="0" collapsed="false">
      <c r="A3" s="3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</row>
    <row r="4" customFormat="false" ht="15" hidden="false" customHeight="true" outlineLevel="0" collapsed="false">
      <c r="A4" s="4" t="s">
        <v>23</v>
      </c>
      <c r="B4" s="14" t="n">
        <f aca="false">Revenue!B6</f>
        <v>768427.5</v>
      </c>
      <c r="C4" s="14" t="n">
        <f aca="false">Revenue!C6</f>
        <v>799164.6</v>
      </c>
      <c r="D4" s="14" t="n">
        <f aca="false">Revenue!D6</f>
        <v>831131.184</v>
      </c>
      <c r="E4" s="14" t="n">
        <f aca="false">Revenue!E6</f>
        <v>864376.43136</v>
      </c>
      <c r="F4" s="14" t="n">
        <f aca="false">Revenue!F6</f>
        <v>898951.4886144</v>
      </c>
    </row>
    <row r="5" customFormat="false" ht="15" hidden="false" customHeight="true" outlineLevel="0" collapsed="false">
      <c r="A5" s="4" t="s">
        <v>25</v>
      </c>
      <c r="B5" s="15" t="n">
        <f aca="false">-Assumptions!$B$9*Assumptions!$B$6</f>
        <v>-432000</v>
      </c>
      <c r="C5" s="15" t="n">
        <f aca="false">B5*(1+Assumptions!$B$10)</f>
        <v>-444960</v>
      </c>
      <c r="D5" s="15" t="e">
        <f aca="false">-#REF!*(1+Assumptions!$B$10)</f>
        <v>#REF!</v>
      </c>
      <c r="E5" s="15" t="e">
        <f aca="false">D5*(1+Assumptions!$B$10)</f>
        <v>#REF!</v>
      </c>
      <c r="F5" s="15" t="e">
        <f aca="false">E5*(1+Assumptions!$B$10)</f>
        <v>#REF!</v>
      </c>
    </row>
    <row r="6" customFormat="false" ht="15" hidden="false" customHeight="true" outlineLevel="0" collapsed="false">
      <c r="A6" s="4" t="s">
        <v>26</v>
      </c>
      <c r="B6" s="16" t="n">
        <f aca="false">B4+B5</f>
        <v>336427.5</v>
      </c>
      <c r="C6" s="16" t="n">
        <f aca="false">C4+C5</f>
        <v>354204.6</v>
      </c>
      <c r="D6" s="16" t="e">
        <f aca="false">D4+D5</f>
        <v>#REF!</v>
      </c>
      <c r="E6" s="16" t="e">
        <f aca="false">E4+E5</f>
        <v>#REF!</v>
      </c>
      <c r="F6" s="16" t="e">
        <f aca="false">F4+F5</f>
        <v>#REF!</v>
      </c>
    </row>
    <row r="7" customFormat="false" ht="15" hidden="false" customHeight="true" outlineLevel="0" collapsed="false">
      <c r="A7" s="4" t="s">
        <v>27</v>
      </c>
      <c r="B7" s="15" t="n">
        <f aca="false">-B6*Assumptions!$B$11</f>
        <v>-94199.7</v>
      </c>
      <c r="C7" s="15" t="n">
        <f aca="false">-C6*Assumptions!$B$11</f>
        <v>-99177.288</v>
      </c>
      <c r="D7" s="15" t="e">
        <f aca="false">-D6*Assumptions!$B$11</f>
        <v>#REF!</v>
      </c>
      <c r="E7" s="15" t="e">
        <f aca="false">-E6*Assumptions!$B$11</f>
        <v>#REF!</v>
      </c>
      <c r="F7" s="15" t="e">
        <f aca="false">-F6*Assumptions!$B$11</f>
        <v>#REF!</v>
      </c>
    </row>
    <row r="8" customFormat="false" ht="15" hidden="false" customHeight="true" outlineLevel="0" collapsed="false">
      <c r="A8" s="4" t="s">
        <v>28</v>
      </c>
      <c r="B8" s="17" t="n">
        <v>-85000</v>
      </c>
      <c r="C8" s="15" t="n">
        <f aca="false">B8</f>
        <v>-85000</v>
      </c>
      <c r="D8" s="15" t="n">
        <f aca="false">C8</f>
        <v>-85000</v>
      </c>
      <c r="E8" s="15" t="n">
        <f aca="false">D8</f>
        <v>-85000</v>
      </c>
      <c r="F8" s="15" t="n">
        <f aca="false">E8</f>
        <v>-85000</v>
      </c>
    </row>
    <row r="9" customFormat="false" ht="15" hidden="false" customHeight="true" outlineLevel="0" collapsed="false">
      <c r="A9" s="4" t="s">
        <v>29</v>
      </c>
      <c r="B9" s="16" t="n">
        <f aca="false">B6+B7+B8</f>
        <v>157227.8</v>
      </c>
      <c r="C9" s="16" t="n">
        <f aca="false">C6+C7+C8</f>
        <v>170027.312</v>
      </c>
      <c r="D9" s="16" t="e">
        <f aca="false">D6+D7+D8</f>
        <v>#REF!</v>
      </c>
      <c r="E9" s="16" t="e">
        <f aca="false">E6+E7+E8</f>
        <v>#REF!</v>
      </c>
      <c r="F9" s="16" t="e">
        <f aca="false">F6+F7+F8</f>
        <v>#REF!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30</v>
      </c>
    </row>
    <row r="2" customFormat="false" ht="15" hidden="false" customHeight="true" outlineLevel="0" collapsed="false">
      <c r="A2" s="3" t="s">
        <v>31</v>
      </c>
      <c r="B2" s="3" t="s">
        <v>2</v>
      </c>
    </row>
    <row r="3" customFormat="false" ht="15" hidden="false" customHeight="true" outlineLevel="0" collapsed="false">
      <c r="A3" s="4" t="s">
        <v>32</v>
      </c>
      <c r="B3" s="11" t="e">
        <f aca="false">CashFlow!F9</f>
        <v>#REF!</v>
      </c>
    </row>
    <row r="4" customFormat="false" ht="15" hidden="false" customHeight="true" outlineLevel="0" collapsed="false">
      <c r="A4" s="4" t="s">
        <v>12</v>
      </c>
      <c r="B4" s="18" t="n">
        <f aca="false">Assumptions!B13</f>
        <v>0.02</v>
      </c>
    </row>
    <row r="5" customFormat="false" ht="15" hidden="false" customHeight="true" outlineLevel="0" collapsed="false">
      <c r="A5" s="4" t="s">
        <v>11</v>
      </c>
      <c r="B5" s="18" t="n">
        <f aca="false">Assumptions!B12</f>
        <v>0.09</v>
      </c>
    </row>
    <row r="6" customFormat="false" ht="15" hidden="false" customHeight="true" outlineLevel="0" collapsed="false">
      <c r="A6" s="4" t="s">
        <v>33</v>
      </c>
      <c r="B6" s="13" t="e">
        <f aca="false">B3*(1+B4)/(B5-B4)</f>
        <v>#REF!</v>
      </c>
    </row>
    <row r="7" customFormat="false" ht="15" hidden="false" customHeight="true" outlineLevel="0" collapsed="false">
      <c r="A7" s="4" t="s">
        <v>34</v>
      </c>
      <c r="B7" s="19" t="n">
        <f aca="false">1/(1+B5)^5</f>
        <v>0.649931386298345</v>
      </c>
    </row>
    <row r="8" customFormat="false" ht="15" hidden="false" customHeight="true" outlineLevel="0" collapsed="false">
      <c r="A8" s="4" t="s">
        <v>35</v>
      </c>
      <c r="B8" s="13" t="e">
        <f aca="false">B6*B7</f>
        <v>#REF!</v>
      </c>
    </row>
    <row r="9" customFormat="false" ht="15" hidden="false" customHeight="true" outlineLevel="0" collapsed="false">
      <c r="A9" s="4" t="s">
        <v>36</v>
      </c>
      <c r="B9" s="20" t="e">
        <f aca="false">NPV(B5,CashFlow!B9:F9)</f>
        <v>#REF!</v>
      </c>
    </row>
    <row r="10" customFormat="false" ht="15" hidden="false" customHeight="true" outlineLevel="0" collapsed="false">
      <c r="A10" s="4" t="s">
        <v>37</v>
      </c>
      <c r="B10" s="13" t="e">
        <f aca="false">B8+B9</f>
        <v>#REF!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2026-07-22T13:34:03Z</dcterms:created>
  <dc:creator>openpyxl</dc:creator>
  <dc:description/>
  <dc:language>en-US</dc:language>
  <cp:lastModifiedBy/>
  <dcterms:modified xsi:type="dcterms:W3CDTF">2026-07-22T13:34:55Z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