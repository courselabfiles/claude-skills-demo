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IncomeStatement" sheetId="2" state="visible" r:id="rId2"/>
    <sheet xmlns:r="http://schemas.openxmlformats.org/officeDocument/2006/relationships" name="BalanceShee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2">
    <font>
      <name val="Calibri"/>
      <family val="2"/>
      <color theme="1"/>
      <sz val="11"/>
      <scheme val="minor"/>
    </font>
    <font>
      <b val="1"/>
      <color rgb="001B2A4A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Meridian Gold &amp; Copper Ltd — Operating &amp; Valuation Assumptions</t>
        </is>
      </c>
    </row>
    <row r="2">
      <c r="A2" t="inlineStr">
        <is>
          <t>Gold production (koz)</t>
        </is>
      </c>
      <c r="B2" t="n">
        <v>450</v>
      </c>
    </row>
    <row r="3">
      <c r="A3" t="inlineStr">
        <is>
          <t>Gold realized price ($/oz)</t>
        </is>
      </c>
      <c r="B3" t="n">
        <v>2350</v>
      </c>
    </row>
    <row r="4">
      <c r="A4" t="inlineStr">
        <is>
          <t>Copper production (kt)</t>
        </is>
      </c>
      <c r="B4" t="n">
        <v>12</v>
      </c>
    </row>
    <row r="5">
      <c r="A5" t="inlineStr">
        <is>
          <t>Copper realized price ($/t)</t>
        </is>
      </c>
      <c r="B5" t="n">
        <v>9200</v>
      </c>
    </row>
    <row r="6">
      <c r="A6" t="inlineStr">
        <is>
          <t>Gold AISC ($/oz)</t>
        </is>
      </c>
      <c r="B6" t="n">
        <v>1350</v>
      </c>
    </row>
    <row r="7">
      <c r="A7" t="inlineStr">
        <is>
          <t>Copper C1 cost ($/t)</t>
        </is>
      </c>
      <c r="B7" t="n">
        <v>6200</v>
      </c>
    </row>
    <row r="8">
      <c r="A8" t="inlineStr">
        <is>
          <t>D&amp;A ($000)</t>
        </is>
      </c>
      <c r="B8" t="n">
        <v>210000</v>
      </c>
    </row>
    <row r="9">
      <c r="A9" t="inlineStr">
        <is>
          <t>Capex ($000)</t>
        </is>
      </c>
      <c r="B9" t="n">
        <v>320000</v>
      </c>
    </row>
    <row r="10">
      <c r="A10" t="inlineStr">
        <is>
          <t>Tax rate</t>
        </is>
      </c>
      <c r="B10" s="2" t="n">
        <v>0.27</v>
      </c>
    </row>
    <row r="11">
      <c r="A11" t="inlineStr">
        <is>
          <t>WACC</t>
        </is>
      </c>
      <c r="B11" s="2" t="n">
        <v>0.1</v>
      </c>
    </row>
    <row r="12">
      <c r="A12" t="inlineStr">
        <is>
          <t>Terminal growth</t>
        </is>
      </c>
      <c r="B12" s="2" t="n">
        <v>0.025</v>
      </c>
    </row>
    <row r="14">
      <c r="A14" t="inlineStr">
        <is>
          <t>Shares outstanding (M)</t>
        </is>
      </c>
      <c r="B14" t="n">
        <v>175</v>
      </c>
    </row>
    <row r="15">
      <c r="A15" t="inlineStr">
        <is>
          <t>Net debt ($000)</t>
        </is>
      </c>
      <c r="B15" t="n">
        <v>850000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Income Statement ($000)</t>
        </is>
      </c>
    </row>
    <row r="2">
      <c r="A2" t="inlineStr">
        <is>
          <t>Gold revenue</t>
        </is>
      </c>
      <c r="B2">
        <f>Assumptions!B2*Assumptions!B3</f>
        <v/>
      </c>
    </row>
    <row r="3">
      <c r="A3" t="inlineStr">
        <is>
          <t>Copper revenue</t>
        </is>
      </c>
      <c r="B3">
        <f>Assumptions!B4*Assumptions!B5</f>
        <v/>
      </c>
    </row>
    <row r="4">
      <c r="A4" t="inlineStr">
        <is>
          <t>Total revenue</t>
        </is>
      </c>
      <c r="B4">
        <f>B2+B3</f>
        <v/>
      </c>
    </row>
    <row r="5">
      <c r="A5" t="inlineStr">
        <is>
          <t>COGS - gold (AISC)</t>
        </is>
      </c>
      <c r="B5">
        <f>Assumptions!B2*Assumptions!B6</f>
        <v/>
      </c>
    </row>
    <row r="6">
      <c r="A6" t="inlineStr">
        <is>
          <t>COGS - copper (C1)</t>
        </is>
      </c>
      <c r="B6">
        <f>Assumptions!B4*Assumptions!B7</f>
        <v/>
      </c>
    </row>
    <row r="7">
      <c r="A7" t="inlineStr">
        <is>
          <t>Total COGS</t>
        </is>
      </c>
      <c r="B7">
        <f>B5+B6</f>
        <v/>
      </c>
    </row>
    <row r="8">
      <c r="A8" t="inlineStr">
        <is>
          <t>Gross profit</t>
        </is>
      </c>
      <c r="B8">
        <f>B4-B7</f>
        <v/>
      </c>
    </row>
    <row r="9">
      <c r="A9" t="inlineStr">
        <is>
          <t>Depreciation &amp; amortization</t>
        </is>
      </c>
      <c r="B9">
        <f>Assumptions!B8</f>
        <v/>
      </c>
    </row>
    <row r="10">
      <c r="A10" t="inlineStr">
        <is>
          <t>EBIT</t>
        </is>
      </c>
      <c r="B10">
        <f>B8-B9</f>
        <v/>
      </c>
    </row>
    <row r="11">
      <c r="A11" t="inlineStr">
        <is>
          <t>Tax</t>
        </is>
      </c>
      <c r="B11">
        <f>B10*Assumptions!B10</f>
        <v/>
      </c>
    </row>
    <row r="12">
      <c r="A12" t="inlineStr">
        <is>
          <t>Net income</t>
        </is>
      </c>
      <c r="B12">
        <f>B10-B11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Balance Sheet ($000)</t>
        </is>
      </c>
    </row>
    <row r="2">
      <c r="A2" t="inlineStr">
        <is>
          <t>Cash</t>
        </is>
      </c>
      <c r="B2" t="n">
        <v>120000</v>
      </c>
    </row>
    <row r="3">
      <c r="A3" t="inlineStr">
        <is>
          <t>Property, plant &amp; equipment</t>
        </is>
      </c>
      <c r="B3" t="n">
        <v>1450000</v>
      </c>
    </row>
    <row r="4">
      <c r="A4" t="inlineStr">
        <is>
          <t>Other assets</t>
        </is>
      </c>
      <c r="B4" t="n">
        <v>300000</v>
      </c>
    </row>
    <row r="5">
      <c r="A5" t="inlineStr">
        <is>
          <t>Total assets</t>
        </is>
      </c>
      <c r="B5">
        <f>B2+B3+B4</f>
        <v/>
      </c>
    </row>
    <row r="7">
      <c r="A7" t="inlineStr">
        <is>
          <t>Debt</t>
        </is>
      </c>
      <c r="B7" t="n">
        <v>970000</v>
      </c>
    </row>
    <row r="8">
      <c r="A8" t="inlineStr">
        <is>
          <t>Payables</t>
        </is>
      </c>
      <c r="B8" t="n">
        <v>180000</v>
      </c>
    </row>
    <row r="9">
      <c r="A9" t="inlineStr">
        <is>
          <t>Total liabilities</t>
        </is>
      </c>
      <c r="B9">
        <f>B7+B8</f>
        <v/>
      </c>
    </row>
    <row r="10">
      <c r="A10" t="inlineStr">
        <is>
          <t>Total equity</t>
        </is>
      </c>
      <c r="B10">
        <f>B5-B9</f>
        <v/>
      </c>
    </row>
    <row r="11">
      <c r="A11" t="inlineStr">
        <is>
          <t>Total liabilities &amp; equity</t>
        </is>
      </c>
      <c r="B11">
        <f>B9+B10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Cash Flow ($000)</t>
        </is>
      </c>
    </row>
    <row r="2">
      <c r="A2" t="inlineStr">
        <is>
          <t>Net income</t>
        </is>
      </c>
      <c r="B2">
        <f>IncomeStatement!B12</f>
        <v/>
      </c>
    </row>
    <row r="3">
      <c r="A3" t="inlineStr">
        <is>
          <t>Add: depreciation &amp; amortization</t>
        </is>
      </c>
      <c r="B3">
        <f>IncomeStatement!B9</f>
        <v/>
      </c>
    </row>
    <row r="4">
      <c r="A4" t="inlineStr">
        <is>
          <t>Less: capital expenditure</t>
        </is>
      </c>
      <c r="B4">
        <f>-Assumptions!B9</f>
        <v/>
      </c>
    </row>
    <row r="5">
      <c r="A5" t="inlineStr">
        <is>
          <t>Change in net working capital</t>
        </is>
      </c>
      <c r="B5">
        <f>-Assumptions!#REF!</f>
        <v/>
      </c>
    </row>
    <row r="6">
      <c r="A6" t="inlineStr">
        <is>
          <t>Free cash flow</t>
        </is>
      </c>
      <c r="B6">
        <f>B2+B3+B4+B5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DCF Valuation ($000 unless noted)</t>
        </is>
      </c>
    </row>
    <row r="2">
      <c r="A2" t="inlineStr">
        <is>
          <t>EBIT (from Income Statement)</t>
        </is>
      </c>
      <c r="B2">
        <f>IncomeStatement!B10</f>
        <v/>
      </c>
    </row>
    <row r="3">
      <c r="A3" t="inlineStr">
        <is>
          <t>NOPAT</t>
        </is>
      </c>
      <c r="B3">
        <f>B2*(1-Assumptions!B10)</f>
        <v/>
      </c>
    </row>
    <row r="4">
      <c r="A4" t="inlineStr">
        <is>
          <t>Add: depreciation &amp; amortization</t>
        </is>
      </c>
      <c r="B4">
        <f>Assumptions!B8</f>
        <v/>
      </c>
    </row>
    <row r="5">
      <c r="A5" t="inlineStr">
        <is>
          <t>Less: capital expenditure</t>
        </is>
      </c>
      <c r="B5">
        <f>-Assumptions!B9</f>
        <v/>
      </c>
    </row>
    <row r="6">
      <c r="A6" t="inlineStr">
        <is>
          <t>Base free cash flow</t>
        </is>
      </c>
      <c r="B6">
        <f>B3+B4+B5</f>
        <v/>
      </c>
    </row>
    <row r="7">
      <c r="A7" t="inlineStr">
        <is>
          <t>Growth rate (per year)</t>
        </is>
      </c>
      <c r="B7" s="2" t="n">
        <v>0.03</v>
      </c>
    </row>
    <row r="8">
      <c r="A8" t="inlineStr">
        <is>
          <t>WACC</t>
        </is>
      </c>
      <c r="B8">
        <f>Assumptions!B11</f>
        <v/>
      </c>
    </row>
    <row r="9">
      <c r="A9" t="inlineStr">
        <is>
          <t>FCF year 1</t>
        </is>
      </c>
      <c r="B9">
        <f>B6*(1+B7)</f>
        <v/>
      </c>
    </row>
    <row r="10">
      <c r="A10" t="inlineStr">
        <is>
          <t>FCF year 2</t>
        </is>
      </c>
      <c r="B10">
        <f>B9*(1+B7)</f>
        <v/>
      </c>
    </row>
    <row r="11">
      <c r="A11" t="inlineStr">
        <is>
          <t>FCF year 3</t>
        </is>
      </c>
      <c r="B11">
        <f>B10*(1+B7)</f>
        <v/>
      </c>
    </row>
    <row r="12">
      <c r="A12" t="inlineStr">
        <is>
          <t>FCF year 4</t>
        </is>
      </c>
      <c r="B12">
        <f>B11*(1+B7)</f>
        <v/>
      </c>
    </row>
    <row r="13">
      <c r="A13" t="inlineStr">
        <is>
          <t>FCF year 5</t>
        </is>
      </c>
      <c r="B13">
        <f>B12*(1+B7)</f>
        <v/>
      </c>
    </row>
    <row r="14">
      <c r="A14" t="inlineStr">
        <is>
          <t>Terminal value</t>
        </is>
      </c>
      <c r="B14">
        <f>B13*(1+Assumptions!B12)/(Assumptions!B11-Assumptions!B12)</f>
        <v/>
      </c>
    </row>
    <row r="15">
      <c r="A15" t="inlineStr">
        <is>
          <t>PV of FCF years 1-5</t>
        </is>
      </c>
      <c r="B15">
        <f>NPV(B8,B9:B13)</f>
        <v/>
      </c>
    </row>
    <row r="16">
      <c r="A16" t="inlineStr">
        <is>
          <t>PV of terminal value</t>
        </is>
      </c>
      <c r="B16">
        <f>B14/((1+B8)^5)</f>
        <v/>
      </c>
    </row>
    <row r="17">
      <c r="A17" t="inlineStr">
        <is>
          <t>Enterprise value</t>
        </is>
      </c>
      <c r="B17">
        <f>B15+B16</f>
        <v/>
      </c>
    </row>
    <row r="18">
      <c r="A18" t="inlineStr">
        <is>
          <t>Less: net debt</t>
        </is>
      </c>
      <c r="B18">
        <f>-Assumptions!B15</f>
        <v/>
      </c>
    </row>
    <row r="19">
      <c r="A19" t="inlineStr">
        <is>
          <t>Equity value</t>
        </is>
      </c>
      <c r="B19">
        <f>B17+B18</f>
        <v/>
      </c>
    </row>
    <row r="20">
      <c r="A20" t="inlineStr">
        <is>
          <t>Shares outstanding (M)</t>
        </is>
      </c>
      <c r="B20">
        <f>Assumptions!B14</f>
        <v/>
      </c>
    </row>
    <row r="21">
      <c r="A21" t="inlineStr">
        <is>
          <t>Value per share ($)</t>
        </is>
      </c>
      <c r="B21" s="3">
        <f>B19/1000/B20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2026-07-22T00:24:31Z</dcterms:created>
  <dcterms:modified xmlns:dcterms="http://purl.org/dc/terms/" xmlns:xsi="http://www.w3.org/2001/XMLSchema-instance" xsi:type="dcterms:W3CDTF">2026-07-22T00:24:31Z</dcterms:modified>
</cp:coreProperties>
</file>